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Pipeline" sheetId="2" state="visible" r:id="rId2"/>
    <sheet xmlns:r="http://schemas.openxmlformats.org/officeDocument/2006/relationships" name="How to use" sheetId="3" state="visible" r:id="rId3"/>
  </sheets>
  <definedNames>
    <definedName name="_xlnm._FilterDatabase" localSheetId="0" hidden="1">'Leads'!$A$1:$AD$1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1F2937"/>
      <sz val="16"/>
    </font>
    <font>
      <i val="1"/>
      <color rgb="006B7280"/>
    </font>
    <font>
      <b val="1"/>
    </font>
    <font>
      <b val="1"/>
      <color rgb="001F2937"/>
      <sz val="14"/>
    </font>
    <font>
      <color rgb="001F2937"/>
      <sz val="11"/>
    </font>
  </fonts>
  <fills count="4">
    <fill>
      <patternFill/>
    </fill>
    <fill>
      <patternFill patternType="gray125"/>
    </fill>
    <fill>
      <patternFill patternType="solid">
        <fgColor rgb="001F2937"/>
      </patternFill>
    </fill>
    <fill>
      <patternFill patternType="solid">
        <fgColor rgb="004F46E5"/>
      </patternFill>
    </fill>
  </fills>
  <borders count="2">
    <border>
      <left/>
      <right/>
      <top/>
      <bottom/>
      <diagonal/>
    </border>
    <border>
      <bottom style="thin">
        <color rgb="00E5E7EB"/>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0" pivotButton="0" quotePrefix="0" xfId="0"/>
    <xf numFmtId="0" fontId="3" fillId="0" borderId="0" pivotButton="0" quotePrefix="0" xfId="0"/>
    <xf numFmtId="0" fontId="1" fillId="3" borderId="0" pivotButton="0" quotePrefix="0" xfId="0"/>
    <xf numFmtId="0" fontId="4" fillId="0" borderId="0" pivotButton="0" quotePrefix="0" xfId="0"/>
    <xf numFmtId="9"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10">
    <dxf>
      <font>
        <b val="1"/>
        <color rgb="00B91C1C"/>
      </font>
      <fill>
        <patternFill patternType="solid">
          <fgColor rgb="00FEE2E2"/>
        </patternFill>
      </fill>
    </dxf>
    <dxf>
      <font>
        <b val="1"/>
        <color rgb="0092400E"/>
      </font>
      <fill>
        <patternFill patternType="solid">
          <fgColor rgb="00FEF3C7"/>
        </patternFill>
      </fill>
    </dxf>
    <dxf>
      <font>
        <color rgb="00374151"/>
      </font>
      <fill>
        <patternFill patternType="solid">
          <fgColor rgb="00F3F4F6"/>
        </patternFill>
      </fill>
    </dxf>
    <dxf>
      <font>
        <color rgb="00166534"/>
      </font>
      <fill>
        <patternFill patternType="solid">
          <fgColor rgb="00DCFCE7"/>
        </patternFill>
      </fill>
    </dxf>
    <dxf>
      <font>
        <color rgb="001E40AF"/>
      </font>
      <fill>
        <patternFill patternType="solid">
          <fgColor rgb="00DBEAFE"/>
        </patternFill>
      </fill>
    </dxf>
    <dxf>
      <font>
        <color rgb="00065F46"/>
      </font>
      <fill>
        <patternFill patternType="solid">
          <fgColor rgb="00D1FAE5"/>
        </patternFill>
      </fill>
    </dxf>
    <dxf>
      <font>
        <color rgb="006B7280"/>
      </font>
      <fill>
        <patternFill patternType="solid">
          <fgColor rgb="00F3F4F6"/>
        </patternFill>
      </fill>
    </dxf>
    <dxf>
      <font>
        <color rgb="00991B1B"/>
      </font>
      <fill>
        <patternFill patternType="solid">
          <fgColor rgb="00FEE2E2"/>
        </patternFill>
      </fill>
    </dxf>
    <dxf>
      <font>
        <color rgb="003730A3"/>
      </font>
      <fill>
        <patternFill patternType="solid">
          <fgColor rgb="00EEF2FF"/>
        </patternFill>
      </fill>
    </dxf>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8" customWidth="1" min="3" max="3"/>
    <col width="16" customWidth="1" min="4" max="4"/>
    <col width="28" customWidth="1" min="5" max="5"/>
    <col width="30" customWidth="1" min="6" max="6"/>
    <col width="34" customWidth="1" min="7" max="7"/>
    <col width="18" customWidth="1" min="8" max="8"/>
    <col width="8" customWidth="1" min="9" max="9"/>
    <col width="9" customWidth="1" min="10" max="10"/>
    <col width="8" customWidth="1" min="11" max="11"/>
    <col width="10" customWidth="1" min="12" max="12"/>
    <col width="34" customWidth="1" min="13" max="13"/>
    <col width="24" customWidth="1" min="14" max="14"/>
    <col width="60" customWidth="1" min="15" max="15"/>
    <col width="34" customWidth="1" min="16" max="16"/>
    <col width="60" customWidth="1" min="17" max="17"/>
    <col width="44" customWidth="1" min="18" max="18"/>
    <col width="44" customWidth="1" min="19" max="19"/>
    <col width="16" customWidth="1" min="20" max="20"/>
    <col width="14" customWidth="1" min="21" max="21"/>
    <col width="14" customWidth="1" min="22" max="22"/>
    <col width="12" customWidth="1" min="23" max="23"/>
    <col width="14" customWidth="1" min="24" max="24"/>
    <col width="11" customWidth="1" min="25" max="25"/>
    <col width="13" customWidth="1" min="26" max="26"/>
    <col width="16" customWidth="1" min="27" max="27"/>
    <col width="26" customWidth="1" min="28" max="28"/>
    <col width="26" customWidth="1" min="29" max="29"/>
    <col width="40" customWidth="1" min="30" max="30"/>
  </cols>
  <sheetData>
    <row r="1" ht="30" customHeight="1">
      <c r="A1" s="1" t="inlineStr">
        <is>
          <t>Place ID</t>
        </is>
      </c>
      <c r="B1" s="1" t="inlineStr">
        <is>
          <t>Business</t>
        </is>
      </c>
      <c r="C1" s="1" t="inlineStr">
        <is>
          <t>Category</t>
        </is>
      </c>
      <c r="D1" s="1" t="inlineStr">
        <is>
          <t>Phone</t>
        </is>
      </c>
      <c r="E1" s="1" t="inlineStr">
        <is>
          <t>Email</t>
        </is>
      </c>
      <c r="F1" s="1" t="inlineStr">
        <is>
          <t>Website</t>
        </is>
      </c>
      <c r="G1" s="1" t="inlineStr">
        <is>
          <t>Address</t>
        </is>
      </c>
      <c r="H1" s="1" t="inlineStr">
        <is>
          <t>Google Maps</t>
        </is>
      </c>
      <c r="I1" s="1" t="inlineStr">
        <is>
          <t>Rating</t>
        </is>
      </c>
      <c r="J1" s="1" t="inlineStr">
        <is>
          <t>Reviews</t>
        </is>
      </c>
      <c r="K1" s="1" t="inlineStr">
        <is>
          <t>Score</t>
        </is>
      </c>
      <c r="L1" s="1" t="inlineStr">
        <is>
          <t>Priority</t>
        </is>
      </c>
      <c r="M1" s="1" t="inlineStr">
        <is>
          <t>Problems</t>
        </is>
      </c>
      <c r="N1" s="1" t="inlineStr">
        <is>
          <t>Top Problem</t>
        </is>
      </c>
      <c r="O1" s="1" t="inlineStr">
        <is>
          <t>Evidence</t>
        </is>
      </c>
      <c r="P1" s="1" t="inlineStr">
        <is>
          <t>Email Subject</t>
        </is>
      </c>
      <c r="Q1" s="1" t="inlineStr">
        <is>
          <t>Email Body</t>
        </is>
      </c>
      <c r="R1" s="1" t="inlineStr">
        <is>
          <t>DM Message</t>
        </is>
      </c>
      <c r="S1" s="1" t="inlineStr">
        <is>
          <t>Call Opener</t>
        </is>
      </c>
      <c r="T1" s="1" t="inlineStr">
        <is>
          <t>Status</t>
        </is>
      </c>
      <c r="U1" s="1" t="inlineStr">
        <is>
          <t>Draft ID</t>
        </is>
      </c>
      <c r="V1" s="1" t="inlineStr">
        <is>
          <t>Thread ID</t>
        </is>
      </c>
      <c r="W1" s="1" t="inlineStr">
        <is>
          <t>Found On</t>
        </is>
      </c>
      <c r="X1" s="1" t="inlineStr">
        <is>
          <t>Last Contacted</t>
        </is>
      </c>
      <c r="Y1" s="1" t="inlineStr">
        <is>
          <t>Follow-ups</t>
        </is>
      </c>
      <c r="Z1" s="1" t="inlineStr">
        <is>
          <t>Last Draft On</t>
        </is>
      </c>
      <c r="AA1" s="1" t="inlineStr">
        <is>
          <t>Niche</t>
        </is>
      </c>
      <c r="AB1" s="1" t="inlineStr">
        <is>
          <t>Search</t>
        </is>
      </c>
      <c r="AC1" s="1" t="inlineStr">
        <is>
          <t>AI Status</t>
        </is>
      </c>
      <c r="AD1" s="1" t="inlineStr">
        <is>
          <t>Notes</t>
        </is>
      </c>
    </row>
  </sheetData>
  <autoFilter ref="A1:AD1"/>
  <conditionalFormatting sqref="L2:L5000">
    <cfRule type="cellIs" priority="1" operator="equal" dxfId="0">
      <formula>"Hot"</formula>
    </cfRule>
    <cfRule type="cellIs" priority="2" operator="equal" dxfId="1">
      <formula>"Warm"</formula>
    </cfRule>
    <cfRule type="cellIs" priority="3" operator="equal" dxfId="2">
      <formula>"Low"</formula>
    </cfRule>
  </conditionalFormatting>
  <conditionalFormatting sqref="T2:T5000">
    <cfRule type="cellIs" priority="4" operator="equal" dxfId="3">
      <formula>"Replied"</formula>
    </cfRule>
    <cfRule type="cellIs" priority="5" operator="equal" dxfId="4">
      <formula>"Meeting booked"</formula>
    </cfRule>
    <cfRule type="cellIs" priority="6" operator="equal" dxfId="5">
      <formula>"Won"</formula>
    </cfRule>
    <cfRule type="cellIs" priority="7" operator="equal" dxfId="6">
      <formula>"Lost"</formula>
    </cfRule>
    <cfRule type="cellIs" priority="8" operator="equal" dxfId="6">
      <formula>"Do not contact"</formula>
    </cfRule>
    <cfRule type="cellIs" priority="9" operator="equal" dxfId="6">
      <formula>"Not interested"</formula>
    </cfRule>
    <cfRule type="cellIs" priority="10" operator="equal" dxfId="7">
      <formula>"Bounced"</formula>
    </cfRule>
    <cfRule type="cellIs" priority="11" operator="equal" dxfId="8">
      <formula>"Draft ready"</formula>
    </cfRule>
  </conditionalFormatting>
  <conditionalFormatting sqref="K2:K5000">
    <cfRule type="expression" priority="12" dxfId="9">
      <formula>K2&gt;=60</formula>
    </cfRule>
  </conditionalFormatting>
  <dataValidations count="1">
    <dataValidation sqref="T2:T5000" showDropDown="0" showInputMessage="0" showErrorMessage="0" allowBlank="1" error="Pick a status from the list" prompt="New → Draft ready / Pitch ready → Contacted → Replied → Meeting booked → Won / Lost" type="list">
      <formula1>"New,Pitch ready,Draft ready,Contacted,Follow-up drafted,Replied,Meeting booked,Won,Lost,Do not contact,Not interested,Bounced"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2" customWidth="1" min="2" max="2"/>
  </cols>
  <sheetData>
    <row r="1">
      <c r="A1" s="2" t="inlineStr">
        <is>
          <t>Client Finder pipeline</t>
        </is>
      </c>
    </row>
    <row r="2">
      <c r="A2" s="3" t="inlineStr">
        <is>
          <t>Updates automatically from the Leads tab.</t>
        </is>
      </c>
    </row>
    <row r="4">
      <c r="A4" s="4" t="inlineStr">
        <is>
          <t>Status</t>
        </is>
      </c>
      <c r="B4" s="4" t="inlineStr">
        <is>
          <t>Leads</t>
        </is>
      </c>
    </row>
    <row r="5">
      <c r="A5" t="inlineStr">
        <is>
          <t>New</t>
        </is>
      </c>
      <c r="B5">
        <f>COUNTIF(Leads!T:T,"New")</f>
        <v/>
      </c>
    </row>
    <row r="6">
      <c r="A6" t="inlineStr">
        <is>
          <t>Pitch ready</t>
        </is>
      </c>
      <c r="B6">
        <f>COUNTIF(Leads!T:T,"Pitch ready")</f>
        <v/>
      </c>
    </row>
    <row r="7">
      <c r="A7" t="inlineStr">
        <is>
          <t>Draft ready</t>
        </is>
      </c>
      <c r="B7">
        <f>COUNTIF(Leads!T:T,"Draft ready")</f>
        <v/>
      </c>
    </row>
    <row r="8">
      <c r="A8" t="inlineStr">
        <is>
          <t>Contacted</t>
        </is>
      </c>
      <c r="B8">
        <f>COUNTIF(Leads!T:T,"Contacted")</f>
        <v/>
      </c>
    </row>
    <row r="9">
      <c r="A9" t="inlineStr">
        <is>
          <t>Follow-up drafted</t>
        </is>
      </c>
      <c r="B9">
        <f>COUNTIF(Leads!T:T,"Follow-up drafted")</f>
        <v/>
      </c>
    </row>
    <row r="10">
      <c r="A10" t="inlineStr">
        <is>
          <t>Replied</t>
        </is>
      </c>
      <c r="B10">
        <f>COUNTIF(Leads!T:T,"Replied")</f>
        <v/>
      </c>
    </row>
    <row r="11">
      <c r="A11" t="inlineStr">
        <is>
          <t>Meeting booked</t>
        </is>
      </c>
      <c r="B11">
        <f>COUNTIF(Leads!T:T,"Meeting booked")</f>
        <v/>
      </c>
    </row>
    <row r="12">
      <c r="A12" t="inlineStr">
        <is>
          <t>Won</t>
        </is>
      </c>
      <c r="B12">
        <f>COUNTIF(Leads!T:T,"Won")</f>
        <v/>
      </c>
    </row>
    <row r="13">
      <c r="A13" t="inlineStr">
        <is>
          <t>Lost</t>
        </is>
      </c>
      <c r="B13">
        <f>COUNTIF(Leads!T:T,"Lost")</f>
        <v/>
      </c>
    </row>
    <row r="14">
      <c r="A14" t="inlineStr">
        <is>
          <t>Do not contact</t>
        </is>
      </c>
      <c r="B14">
        <f>COUNTIF(Leads!T:T,"Do not contact")</f>
        <v/>
      </c>
    </row>
    <row r="15">
      <c r="A15" t="inlineStr">
        <is>
          <t>Not interested</t>
        </is>
      </c>
      <c r="B15">
        <f>COUNTIF(Leads!T:T,"Not interested")</f>
        <v/>
      </c>
    </row>
    <row r="16">
      <c r="A16" t="inlineStr">
        <is>
          <t>Bounced</t>
        </is>
      </c>
      <c r="B16">
        <f>COUNTIF(Leads!T:T,"Bounced")</f>
        <v/>
      </c>
    </row>
    <row r="17">
      <c r="A17" s="5" t="inlineStr">
        <is>
          <t>Total</t>
        </is>
      </c>
      <c r="B17">
        <f>COUNTA(Leads!A:A)-1</f>
        <v/>
      </c>
    </row>
    <row r="18">
      <c r="A18" s="4" t="n"/>
      <c r="B18" s="4" t="n"/>
    </row>
    <row r="19">
      <c r="A19" t="inlineStr">
        <is>
          <t>Priority</t>
        </is>
      </c>
      <c r="B19" t="inlineStr">
        <is>
          <t>Leads</t>
        </is>
      </c>
    </row>
    <row r="20">
      <c r="A20" t="inlineStr">
        <is>
          <t>Hot</t>
        </is>
      </c>
      <c r="B20">
        <f>COUNTIF(Leads!L:L,"Hot")</f>
        <v/>
      </c>
    </row>
    <row r="21">
      <c r="A21" t="inlineStr">
        <is>
          <t>Warm</t>
        </is>
      </c>
      <c r="B21">
        <f>COUNTIF(Leads!L:L,"Warm")</f>
        <v/>
      </c>
    </row>
    <row r="22">
      <c r="A22" t="inlineStr">
        <is>
          <t>Low</t>
        </is>
      </c>
      <c r="B22">
        <f>COUNTIF(Leads!L:L,"Low")</f>
        <v/>
      </c>
    </row>
    <row r="23">
      <c r="A23" t="inlineStr">
        <is>
          <t>None</t>
        </is>
      </c>
      <c r="B23">
        <f>COUNTIF(Leads!L:L,"None")</f>
        <v/>
      </c>
    </row>
    <row r="25">
      <c r="A25" t="inlineStr">
        <is>
          <t>Reply rate</t>
        </is>
      </c>
      <c r="B25" s="6">
        <f>IFERROR((COUNTIF(Leads!T:T,"Replied")+COUNTIF(Leads!T:T,"Meeting booked")+COUNTIF(Leads!T:T,"Won"))/MAX(1,COUNTIF(Leads!T:T,"Contacted")+COUNTIF(Leads!T:T,"Follow-up drafted")+COUNTIF(Leads!T:T,"Replied")+COUNTIF(Leads!T:T,"Meeting booked")+COUNTIF(Leads!T:T,"Won")+COUNTIF(Leads!T:T,"Lost")),0)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7" t="inlineStr">
        <is>
          <t>How to use this sheet</t>
        </is>
      </c>
    </row>
    <row r="2">
      <c r="A2" s="8" t="inlineStr">
        <is>
          <t>1. Keep the tab name "Leads" and its header row exactly as they are: the n8n workflows read and write these columns by name.</t>
        </is>
      </c>
    </row>
    <row r="3">
      <c r="A3" s="8" t="inlineStr">
        <is>
          <t>2. Copy this sheet's URL (the address bar, starting with https://docs.google.com/spreadsheets/d/) into the googleSheetUrl field of the ⚙️ Settings node.</t>
        </is>
      </c>
    </row>
    <row r="4">
      <c r="A4" s="8" t="inlineStr">
        <is>
          <t>3. Every run adds new businesses at the bottom. A business that is already in the sheet is never added twice, and an email address or website that is already here is never pitched again.</t>
        </is>
      </c>
    </row>
    <row r="5">
      <c r="A5" s="8" t="inlineStr">
        <is>
          <t>4. Statuses: New = no pitch (score too low, or already pitched under another listing) · Pitch ready = pitch written, no email found or the draft failed (call/DM) · Draft ready = a Gmail draft is waiting for you.</t>
        </is>
      </c>
    </row>
    <row r="6">
      <c r="A6" s="8" t="inlineStr">
        <is>
          <t xml:space="preserve">   After you send: Contacted · Follow-up drafted (Pro) · Replied · Meeting booked · Won · Lost · Do not contact · Not interested · Bounced (Pro sets it when an email bounces).</t>
        </is>
      </c>
    </row>
    <row r="7">
      <c r="A7" s="8" t="inlineStr">
        <is>
          <t>5. Pro follow-ups read Gmail to see what you actually sent and who replied (from any address in the thread). You can also set Status and Last Contacted by hand.</t>
        </is>
      </c>
    </row>
    <row r="8">
      <c r="A8" s="8" t="inlineStr">
        <is>
          <t>6. Set Status to "Do not contact" (or "Not interested") for anyone who asks you to stop. That email address is never emailed again by any workflow, and the Client Finder never pitches that address or website again, even under another listing.</t>
        </is>
      </c>
    </row>
    <row r="9">
      <c r="A9" s="8" t="inlineStr">
        <is>
          <t>7. Add your own columns to the right of Notes if you like: the workflows ignore them.</t>
        </is>
      </c>
    </row>
    <row r="10">
      <c r="A10" s="8" t="inlineStr">
        <is>
          <t>8. Business details come from Google Maps (source: Google Maps). Google's Maps Platform Terms limit storing them long term, so treat this tab as a working list and delete leads you don't pursue.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2026-10-07T09:58:51Z</dcterms:created>
  <dcterms:modified xmlns:dcterms="http://purl.org/dc/terms/" xmlns:xsi="http://www.w3.org/2001/XMLSchema-instance" xsi:type="dcterms:W3CDTF">2026-10-07T09:58:51Z</dcterms:modified>
</cp:coreProperties>
</file>