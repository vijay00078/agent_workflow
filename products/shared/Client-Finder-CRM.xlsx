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  <sheet xmlns:r="http://schemas.openxmlformats.org/officeDocument/2006/relationships" name="Pipelin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'Leads'!$A$1:$AD$1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1F2937"/>
      <sz val="16"/>
    </font>
    <font>
      <i val="1"/>
      <color rgb="006B7280"/>
    </font>
    <font>
      <b val="1"/>
    </font>
    <font>
      <b val="1"/>
      <color rgb="001F2937"/>
      <sz val="14"/>
    </font>
    <font>
      <color rgb="001F2937"/>
      <sz val="1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4F46E5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1" fillId="3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9">
    <dxf>
      <font>
        <b val="1"/>
        <color rgb="00B91C1C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color rgb="00374151"/>
      </font>
      <fill>
        <patternFill patternType="solid">
          <fgColor rgb="00F3F4F6"/>
        </patternFill>
      </fill>
    </dxf>
    <dxf>
      <font>
        <color rgb="00166534"/>
      </font>
      <fill>
        <patternFill patternType="solid">
          <fgColor rgb="00DCFCE7"/>
        </patternFill>
      </fill>
    </dxf>
    <dxf>
      <font>
        <color rgb="001E40AF"/>
      </font>
      <fill>
        <patternFill patternType="solid">
          <fgColor rgb="00DBEAFE"/>
        </patternFill>
      </fill>
    </dxf>
    <dxf>
      <font>
        <color rgb="00065F46"/>
      </font>
      <fill>
        <patternFill patternType="solid">
          <fgColor rgb="00D1FAE5"/>
        </patternFill>
      </fill>
    </dxf>
    <dxf>
      <font>
        <color rgb="006B7280"/>
      </font>
      <fill>
        <patternFill patternType="solid">
          <fgColor rgb="00F3F4F6"/>
        </patternFill>
      </fill>
    </dxf>
    <dxf>
      <font>
        <color rgb="003730A3"/>
      </font>
      <fill>
        <patternFill patternType="solid">
          <fgColor rgb="00EEF2FF"/>
        </patternFill>
      </fill>
    </dxf>
    <dxf>
      <font>
        <b val="1"/>
        <color rgb="00B91C1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8" customWidth="1" min="3" max="3"/>
    <col width="16" customWidth="1" min="4" max="4"/>
    <col width="28" customWidth="1" min="5" max="5"/>
    <col width="30" customWidth="1" min="6" max="6"/>
    <col width="34" customWidth="1" min="7" max="7"/>
    <col width="18" customWidth="1" min="8" max="8"/>
    <col width="8" customWidth="1" min="9" max="9"/>
    <col width="9" customWidth="1" min="10" max="10"/>
    <col width="8" customWidth="1" min="11" max="11"/>
    <col width="10" customWidth="1" min="12" max="12"/>
    <col width="34" customWidth="1" min="13" max="13"/>
    <col width="24" customWidth="1" min="14" max="14"/>
    <col width="60" customWidth="1" min="15" max="15"/>
    <col width="34" customWidth="1" min="16" max="16"/>
    <col width="60" customWidth="1" min="17" max="17"/>
    <col width="44" customWidth="1" min="18" max="18"/>
    <col width="44" customWidth="1" min="19" max="19"/>
    <col width="16" customWidth="1" min="20" max="20"/>
    <col width="14" customWidth="1" min="21" max="21"/>
    <col width="14" customWidth="1" min="22" max="22"/>
    <col width="12" customWidth="1" min="23" max="23"/>
    <col width="14" customWidth="1" min="24" max="24"/>
    <col width="11" customWidth="1" min="25" max="25"/>
    <col width="13" customWidth="1" min="26" max="26"/>
    <col width="16" customWidth="1" min="27" max="27"/>
    <col width="26" customWidth="1" min="28" max="28"/>
    <col width="26" customWidth="1" min="29" max="29"/>
    <col width="40" customWidth="1" min="30" max="30"/>
  </cols>
  <sheetData>
    <row r="1" ht="30" customHeight="1">
      <c r="A1" s="1" t="inlineStr">
        <is>
          <t>Place ID</t>
        </is>
      </c>
      <c r="B1" s="1" t="inlineStr">
        <is>
          <t>Business</t>
        </is>
      </c>
      <c r="C1" s="1" t="inlineStr">
        <is>
          <t>Category</t>
        </is>
      </c>
      <c r="D1" s="1" t="inlineStr">
        <is>
          <t>Phone</t>
        </is>
      </c>
      <c r="E1" s="1" t="inlineStr">
        <is>
          <t>Email</t>
        </is>
      </c>
      <c r="F1" s="1" t="inlineStr">
        <is>
          <t>Website</t>
        </is>
      </c>
      <c r="G1" s="1" t="inlineStr">
        <is>
          <t>Address</t>
        </is>
      </c>
      <c r="H1" s="1" t="inlineStr">
        <is>
          <t>Google Maps</t>
        </is>
      </c>
      <c r="I1" s="1" t="inlineStr">
        <is>
          <t>Rating</t>
        </is>
      </c>
      <c r="J1" s="1" t="inlineStr">
        <is>
          <t>Reviews</t>
        </is>
      </c>
      <c r="K1" s="1" t="inlineStr">
        <is>
          <t>Score</t>
        </is>
      </c>
      <c r="L1" s="1" t="inlineStr">
        <is>
          <t>Priority</t>
        </is>
      </c>
      <c r="M1" s="1" t="inlineStr">
        <is>
          <t>Problems</t>
        </is>
      </c>
      <c r="N1" s="1" t="inlineStr">
        <is>
          <t>Top Problem</t>
        </is>
      </c>
      <c r="O1" s="1" t="inlineStr">
        <is>
          <t>Evidence</t>
        </is>
      </c>
      <c r="P1" s="1" t="inlineStr">
        <is>
          <t>Email Subject</t>
        </is>
      </c>
      <c r="Q1" s="1" t="inlineStr">
        <is>
          <t>Email Body</t>
        </is>
      </c>
      <c r="R1" s="1" t="inlineStr">
        <is>
          <t>DM Message</t>
        </is>
      </c>
      <c r="S1" s="1" t="inlineStr">
        <is>
          <t>Call Opener</t>
        </is>
      </c>
      <c r="T1" s="1" t="inlineStr">
        <is>
          <t>Status</t>
        </is>
      </c>
      <c r="U1" s="1" t="inlineStr">
        <is>
          <t>Draft ID</t>
        </is>
      </c>
      <c r="V1" s="1" t="inlineStr">
        <is>
          <t>Thread ID</t>
        </is>
      </c>
      <c r="W1" s="1" t="inlineStr">
        <is>
          <t>Found On</t>
        </is>
      </c>
      <c r="X1" s="1" t="inlineStr">
        <is>
          <t>Last Contacted</t>
        </is>
      </c>
      <c r="Y1" s="1" t="inlineStr">
        <is>
          <t>Follow-ups</t>
        </is>
      </c>
      <c r="Z1" s="1" t="inlineStr">
        <is>
          <t>Last Draft On</t>
        </is>
      </c>
      <c r="AA1" s="1" t="inlineStr">
        <is>
          <t>Niche</t>
        </is>
      </c>
      <c r="AB1" s="1" t="inlineStr">
        <is>
          <t>Search</t>
        </is>
      </c>
      <c r="AC1" s="1" t="inlineStr">
        <is>
          <t>AI Status</t>
        </is>
      </c>
      <c r="AD1" s="1" t="inlineStr">
        <is>
          <t>Notes</t>
        </is>
      </c>
    </row>
  </sheetData>
  <autoFilter ref="A1:AD1"/>
  <conditionalFormatting sqref="L2:L5000">
    <cfRule type="cellIs" priority="1" operator="equal" dxfId="0">
      <formula>"Hot"</formula>
    </cfRule>
    <cfRule type="cellIs" priority="2" operator="equal" dxfId="1">
      <formula>"Warm"</formula>
    </cfRule>
    <cfRule type="cellIs" priority="3" operator="equal" dxfId="2">
      <formula>"Low"</formula>
    </cfRule>
  </conditionalFormatting>
  <conditionalFormatting sqref="T2:T5000">
    <cfRule type="cellIs" priority="4" operator="equal" dxfId="3">
      <formula>"Replied"</formula>
    </cfRule>
    <cfRule type="cellIs" priority="5" operator="equal" dxfId="4">
      <formula>"Meeting booked"</formula>
    </cfRule>
    <cfRule type="cellIs" priority="6" operator="equal" dxfId="5">
      <formula>"Won"</formula>
    </cfRule>
    <cfRule type="cellIs" priority="7" operator="equal" dxfId="6">
      <formula>"Lost"</formula>
    </cfRule>
    <cfRule type="cellIs" priority="8" operator="equal" dxfId="6">
      <formula>"Do not contact"</formula>
    </cfRule>
    <cfRule type="cellIs" priority="9" operator="equal" dxfId="7">
      <formula>"Draft ready"</formula>
    </cfRule>
  </conditionalFormatting>
  <conditionalFormatting sqref="K2:K5000">
    <cfRule type="expression" priority="10" dxfId="8">
      <formula>K2&gt;=60</formula>
    </cfRule>
  </conditionalFormatting>
  <dataValidations count="1">
    <dataValidation sqref="T2:T5000" showDropDown="0" showInputMessage="0" showErrorMessage="0" allowBlank="1" error="Pick a status from the list" prompt="New → Draft ready / Pitch ready → Contacted → Replied → Meeting booked → Won / Lost" type="list">
      <formula1>"New,Pitch ready,Draft ready,Contacted,Follow-up drafted,Replied,Meeting booked,Won,Lost,Do not contact"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2" t="inlineStr">
        <is>
          <t>Client Finder pipeline</t>
        </is>
      </c>
    </row>
    <row r="2">
      <c r="A2" s="3" t="inlineStr">
        <is>
          <t>Updates automatically from the Leads tab.</t>
        </is>
      </c>
    </row>
    <row r="4">
      <c r="A4" s="4" t="inlineStr">
        <is>
          <t>Status</t>
        </is>
      </c>
      <c r="B4" s="4" t="inlineStr">
        <is>
          <t>Leads</t>
        </is>
      </c>
    </row>
    <row r="5">
      <c r="A5" t="inlineStr">
        <is>
          <t>New</t>
        </is>
      </c>
      <c r="B5">
        <f>COUNTIF(Leads!T:T,"New")</f>
        <v/>
      </c>
    </row>
    <row r="6">
      <c r="A6" t="inlineStr">
        <is>
          <t>Pitch ready</t>
        </is>
      </c>
      <c r="B6">
        <f>COUNTIF(Leads!T:T,"Pitch ready")</f>
        <v/>
      </c>
    </row>
    <row r="7">
      <c r="A7" t="inlineStr">
        <is>
          <t>Draft ready</t>
        </is>
      </c>
      <c r="B7">
        <f>COUNTIF(Leads!T:T,"Draft ready")</f>
        <v/>
      </c>
    </row>
    <row r="8">
      <c r="A8" t="inlineStr">
        <is>
          <t>Contacted</t>
        </is>
      </c>
      <c r="B8">
        <f>COUNTIF(Leads!T:T,"Contacted")</f>
        <v/>
      </c>
    </row>
    <row r="9">
      <c r="A9" t="inlineStr">
        <is>
          <t>Follow-up drafted</t>
        </is>
      </c>
      <c r="B9">
        <f>COUNTIF(Leads!T:T,"Follow-up drafted")</f>
        <v/>
      </c>
    </row>
    <row r="10">
      <c r="A10" t="inlineStr">
        <is>
          <t>Replied</t>
        </is>
      </c>
      <c r="B10">
        <f>COUNTIF(Leads!T:T,"Replied")</f>
        <v/>
      </c>
    </row>
    <row r="11">
      <c r="A11" t="inlineStr">
        <is>
          <t>Meeting booked</t>
        </is>
      </c>
      <c r="B11">
        <f>COUNTIF(Leads!T:T,"Meeting booked")</f>
        <v/>
      </c>
    </row>
    <row r="12">
      <c r="A12" t="inlineStr">
        <is>
          <t>Won</t>
        </is>
      </c>
      <c r="B12">
        <f>COUNTIF(Leads!T:T,"Won")</f>
        <v/>
      </c>
    </row>
    <row r="13">
      <c r="A13" t="inlineStr">
        <is>
          <t>Lost</t>
        </is>
      </c>
      <c r="B13">
        <f>COUNTIF(Leads!T:T,"Lost")</f>
        <v/>
      </c>
    </row>
    <row r="14">
      <c r="A14" t="inlineStr">
        <is>
          <t>Do not contact</t>
        </is>
      </c>
      <c r="B14">
        <f>COUNTIF(Leads!T:T,"Do not contact")</f>
        <v/>
      </c>
    </row>
    <row r="15">
      <c r="A15" s="5" t="inlineStr">
        <is>
          <t>Total</t>
        </is>
      </c>
      <c r="B15">
        <f>COUNTA(Leads!A:A)-1</f>
        <v/>
      </c>
    </row>
    <row r="16">
      <c r="A16" s="4" t="n"/>
      <c r="B16" s="4" t="n"/>
    </row>
    <row r="17">
      <c r="A17" t="inlineStr">
        <is>
          <t>Priority</t>
        </is>
      </c>
      <c r="B17" t="inlineStr">
        <is>
          <t>Leads</t>
        </is>
      </c>
    </row>
    <row r="18">
      <c r="A18" t="inlineStr">
        <is>
          <t>Hot</t>
        </is>
      </c>
      <c r="B18">
        <f>COUNTIF(Leads!L:L,"Hot")</f>
        <v/>
      </c>
    </row>
    <row r="19">
      <c r="A19" t="inlineStr">
        <is>
          <t>Warm</t>
        </is>
      </c>
      <c r="B19">
        <f>COUNTIF(Leads!L:L,"Warm")</f>
        <v/>
      </c>
    </row>
    <row r="20">
      <c r="A20" t="inlineStr">
        <is>
          <t>Low</t>
        </is>
      </c>
      <c r="B20">
        <f>COUNTIF(Leads!L:L,"Low")</f>
        <v/>
      </c>
    </row>
    <row r="21">
      <c r="A21" t="inlineStr">
        <is>
          <t>None</t>
        </is>
      </c>
      <c r="B21">
        <f>COUNTIF(Leads!L:L,"None")</f>
        <v/>
      </c>
    </row>
    <row r="23">
      <c r="A23" t="inlineStr">
        <is>
          <t>Reply rate</t>
        </is>
      </c>
      <c r="B23" s="6">
        <f>IFERROR((COUNTIF(Leads!T:T,"Replied")+COUNTIF(Leads!T:T,"Meeting booked")+COUNTIF(Leads!T:T,"Won"))/MAX(1,COUNTIF(Leads!T:T,"Contacted")+COUNTIF(Leads!T:T,"Follow-up drafted")+COUNTIF(Leads!T:T,"Replied")+COUNTIF(Leads!T:T,"Meeting booked")+COUNTIF(Leads!T:T,"Won")+COUNTIF(Leads!T:T,"Lost")),0)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How to use this sheet</t>
        </is>
      </c>
    </row>
    <row r="2">
      <c r="A2" s="8" t="inlineStr">
        <is>
          <t>1. Keep the tab name "Leads" and its header row exactly as they are: the n8n workflows read and write these columns by name.</t>
        </is>
      </c>
    </row>
    <row r="3">
      <c r="A3" s="8" t="inlineStr">
        <is>
          <t>2. Copy this sheet's URL (the address bar, starting with https://docs.google.com/spreadsheets/d/) into the googleSheetUrl field of the ⚙️ Settings node.</t>
        </is>
      </c>
    </row>
    <row r="4">
      <c r="A4" s="8" t="inlineStr">
        <is>
          <t>3. Every run adds new businesses at the bottom. A business that is already in the sheet is never added or pitched twice.</t>
        </is>
      </c>
    </row>
    <row r="5">
      <c r="A5" s="8" t="inlineStr">
        <is>
          <t>4. Statuses: New = no pitch (score too low) · Pitch ready = pitch written, no email found (call/DM) · Draft ready = a Gmail draft is waiting for you.</t>
        </is>
      </c>
    </row>
    <row r="6">
      <c r="A6" s="8" t="inlineStr">
        <is>
          <t xml:space="preserve">   After you send: Contacted · Follow-up drafted (Pro) · Replied · Meeting booked · Won · Lost · Do not contact.</t>
        </is>
      </c>
    </row>
    <row r="7">
      <c r="A7" s="8" t="inlineStr">
        <is>
          <t>5. Pro follow-ups read Gmail to see what you actually sent and who replied. You can also set Status and Last Contacted by hand.</t>
        </is>
      </c>
    </row>
    <row r="8">
      <c r="A8" s="8" t="inlineStr">
        <is>
          <t>6. Set Status to "Do not contact" for anyone who asks you to stop. They are never emailed again.</t>
        </is>
      </c>
    </row>
    <row r="9">
      <c r="A9" s="8" t="inlineStr">
        <is>
          <t>7. Add your own columns to the right of Notes if you like: the workflows ignore them.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2026-10-06T14:18:50Z</dcterms:created>
  <dcterms:modified xmlns:dcterms="http://purl.org/dc/terms/" xmlns:xsi="http://www.w3.org/2001/XMLSchema-instance" xsi:type="dcterms:W3CDTF">2026-10-06T14:18:50Z</dcterms:modified>
</cp:coreProperties>
</file>